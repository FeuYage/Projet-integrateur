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Gr\OneDrive\Bureau\Cegep\Cegep Session 4\Projet integrateur 2\Projet trotinette\Projet-integrateur\PCB\Plan de test\"/>
    </mc:Choice>
  </mc:AlternateContent>
  <xr:revisionPtr revIDLastSave="0" documentId="13_ncr:1_{D6B71A08-56D1-4ECD-91FE-7CFA90B23956}" xr6:coauthVersionLast="47" xr6:coauthVersionMax="47" xr10:uidLastSave="{00000000-0000-0000-0000-000000000000}"/>
  <bookViews>
    <workbookView xWindow="-28920" yWindow="-120" windowWidth="29040" windowHeight="15720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<sst xmlns="http://schemas.openxmlformats.org/spreadsheetml/2006/main" count="110" uniqueCount="72">
  <si>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</si>
  <si>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</si>
  <si>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</si>
  <si>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</si>
  <si>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</si>
  <si>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</si>
  <si>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</si>
  <si>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</si>
  <si>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</si>
  <si>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</si>
  <si>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</si>
  <si>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</si>
  <si>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</si>
  <si>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</si>
  <si>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</si>
  <si>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</si>
  <si>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</si>
  <si>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</si>
  <si>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</si>
  <si>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</si>
  <si>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</si>
  <si>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#</t>
  </si>
  <si>
    <t>Modification suggérée</t>
  </si>
  <si>
    <t>Explication</t>
  </si>
  <si>
    <t>Vérification visuelle de la carte pour confirmer qu'aucune composantes n'est mal soudé.</t>
  </si>
  <si>
    <t>Avec le multimètre, mesurez la résistance entre le point de test USB et l'extérieur du connecteur USB (La résistance devrait etre dans l'ordre des k ohm)</t>
  </si>
  <si>
    <t>Avec le multimètre, mesurez la résistance entre le point de test VPI et l'extérieur du connecteur USB (La résistance devrait etre dans l'ordre des k ohm)</t>
  </si>
  <si>
    <t>Avec le multimètre, mesurez la résistance entre le point de test 5V et l'extérieur du connecteur USB (La résistance devrait etre dans l'ordre des k ohm)</t>
  </si>
  <si>
    <t>Avec le multimètre, mesurez la résistance entre le point de test 3V3 et l'extérieur du connecteur USB (La résistance devrait etre dans l'ordre des k ohm)</t>
  </si>
  <si>
    <t>Tester l'orientation des dels D1 à D4 en placant la sonde rouge sur les points de test de chaque diode et la sonde noir sur le pad en direction de la résistance.</t>
  </si>
  <si>
    <t>Tester le fonctionnement de la switch de reset avec le multimètre en mode continuité entre deux broches adjacentes et appuyer sur l'interrupteur.  (Une fois appuyé, il devrait y avoir de la continuité)</t>
  </si>
  <si>
    <t>Avant la soudure, tester si des vis M2 entrent bien dans les trous de montage</t>
  </si>
  <si>
    <t>Avec le multimètre en mode continuité, confirmé qu'il n'y a pas de chemin entre les points de test USB et VPI et entre 5V et 3V3</t>
  </si>
  <si>
    <t>Mettre un jumper sur le bornier J3 entre la broche du milieu et l'indicateur ALIM_USB puis, brancher la carte et mesurer la tension entre les points USB / 5V / 3V3 et l'extérieur du connecteur USB.  (La valeur du point de test USB devrait etre d'environ 5V et le 3V3 devrait se situer entre 3.2 et 3.4V)</t>
  </si>
  <si>
    <t>Projet intégrateur 2</t>
  </si>
  <si>
    <t>Jérémy Roy</t>
  </si>
  <si>
    <t>Mettre un jumper sur le bornier J3 entre la broche du milieu et l'indicateur ALIM_PI puis, brancher la carte et mesurer la tension entre les points VPI / 5V / 3V3 et l'extérieur du connecteur USB.  (La valeur du point de test VPI devrait etre d'environ 5V et le 3V3 devrait se situer entre 3.2 et 3.4V)</t>
  </si>
  <si>
    <t>Brancher le connecteur ST-Link et alimenter en mode USB pour ouvrir CUBEIDE et confirmer s'il est possible de communiquer avec le circuit.</t>
  </si>
  <si>
    <t>Vérifier s'il est possible de connecter le fil JST 10 broches dans le connecteur J1</t>
  </si>
  <si>
    <t>Vérifier si les diodes D1 à D4 s'allument selon le mode d'alimentation sélectionné avec le bornier J3</t>
  </si>
  <si>
    <t xml:space="preserve">Ajout DELS sur GPIO </t>
  </si>
  <si>
    <t>test du bouton reset avec circuit alimenté</t>
  </si>
  <si>
    <t>Column1</t>
  </si>
  <si>
    <t>Récuperer information sur format UART en provenance du Rasberry pi</t>
  </si>
  <si>
    <t>Récuperer information sur format I2C en provenance du Rasberry pi</t>
  </si>
  <si>
    <t>Les vis passent bien dans les trous du PCB et sont suffisament longue pour tenir celui-ci dans le boitier 3D</t>
  </si>
  <si>
    <t>Vérifier s'il est possible de connecter le JTAG dans son connecteur</t>
  </si>
  <si>
    <t>Le fil se connecte sans problème et la broche 1 du fil correspond bien avec la broche 1 du connecteur identifié par un point blanc sur le PCB</t>
  </si>
  <si>
    <t>Aucune composante ne semble mal soudé ou présente des ponts de soudure.
Pas de composantes en tombstone</t>
  </si>
  <si>
    <t>Résistance surpassant la limite du multimètre détecté (Aucun court-circuit)</t>
  </si>
  <si>
    <t>Résistance de 2.79Mohm détecté avec le multimètre</t>
  </si>
  <si>
    <t>Résistance de 1.89Mohm entre le point de test 5V et le GND</t>
  </si>
  <si>
    <t xml:space="preserve"> </t>
  </si>
  <si>
    <t>Résistance de 3.647k ohm entre le 3V3 et le GND</t>
  </si>
  <si>
    <t>Tester la continuité entre les alimentations et il n'y a pas de court-circuit.  Fait le test en mettant le jumper vers USB et le 5V et ALIM_USB deviennent connecté.  Même chose avec le ALIM_PI.</t>
  </si>
  <si>
    <t>Les DELs s'allument tous lorsque testé en mode diode avec le multimètre mais la diode D4 semble faible</t>
  </si>
  <si>
    <t>Les broches ne sont pas connecté ensemble tant que le bouton n'est pas appuyé mais devient connecté lorsque le bouton est appuyé.</t>
  </si>
  <si>
    <t xml:space="preserve">Tension de 3.29V mesuré sur le point de test 3V3 et tension de 4.88 mesuré sur le point de test 5V et USB </t>
  </si>
  <si>
    <t>Court-circuit entre le point de test 3V3 et le GND mesuré sur le dessus du connecteur USB-C (Les trous imprévus fait par JLCPCB sont réellement des vias et causent un court circuit)</t>
  </si>
  <si>
    <t>Driller les trous avec une perceuse à colonne afin de retirer le metal à l'intérieur des vias et briser la connexion.</t>
  </si>
  <si>
    <t>Erreur en exportant les gerbers a causé ces trous.  En reproduisant les</t>
  </si>
  <si>
    <t>Le connecteur passe bien et n'accroche pas</t>
  </si>
  <si>
    <t>Il est possible d'alimenter le circuit par l'alimentation du rasberry Pi avec une tension de 3.29V sur le point de test 3V3 et 4.95V sur le point de test 5V</t>
  </si>
  <si>
    <t xml:space="preserve">Le PCB n'est jamais détecté par l'interface </t>
  </si>
  <si>
    <t>Activation des options flash dans CUBEMX afin de permettre le controle du mode BOOT avec la broche BOOT0</t>
  </si>
  <si>
    <t>L'option NOE du debug USB ne peut être activé en même temps que SWD ce qui bloque la communication.</t>
  </si>
  <si>
    <t>Il est possible de visionner les informations mais très bruité à cause du cable.
À retester mais souder directement sur les broches pour bypasser le fil.</t>
  </si>
  <si>
    <t>L'interface CUBEIDE arrive à se connecter au circuit et à transmettre le code dans le PCB</t>
  </si>
  <si>
    <t>Fonctionalité non testable par manque de temps lors de la programmation.</t>
  </si>
  <si>
    <t>Soudure de fils directement sur les broches du connecteur pour eviter le bruit du cable fournit par enseignant.</t>
  </si>
  <si>
    <t>Le code bloquant empêche la bonne lecture du message recu par l'interface UART2 vers UART1
***Il faudrait faire une nouvelle version avec un code utilisant des interrupts***</t>
  </si>
  <si>
    <t>Tableau de bord trottinette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</si>
</sst>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0" fillId="0" borderId="5" xfId="0" applyNumberFormat="1" applyBorder="1"/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33" totalsRowShown="0" headerRowDxfId="21" headerRowBorderDxfId="20" tableBorderDxfId="19">
  <autoFilter ref="B10:H33" xr:uid="{3E4F9C66-3C4F-4FED-86C7-317DD6AF871B}"/>
  <tableColumns count="7">
    <tableColumn id="1" xr3:uid="{21BD1CA3-33DE-44AA-9EB4-FC84914AA01E}" name="Fonction" dataDxfId="18"/>
    <tableColumn id="2" xr3:uid="{40F1DB91-EE19-4388-9FD9-FC665131A01C}" name="Description du test" dataDxfId="17"/>
    <tableColumn id="3" xr3:uid="{46119054-E687-474D-A236-70842A202FA2}" name="Résultat" dataDxfId="16"/>
    <tableColumn id="4" xr3:uid="{E76DCA99-A14D-4F97-96AC-0659630D86A5}" name="Raison réussite ou échec" dataDxfId="15"/>
    <tableColumn id="5" xr3:uid="{C0DEE3AC-0260-44EA-839D-A616D9FF1BF7}" name="modification effectuée" dataDxfId="14"/>
    <tableColumn id="6" xr3:uid="{EB8F3DD3-BA06-4471-97FB-7FC066A8F5DD}" name="Nouveau résultat" dataDxfId="13"/>
    <tableColumn id="7" xr3:uid="{853C2233-5CDD-4625-B476-83FD3F9762B1}" name="Commentaire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E15" totalsRowShown="0" headerRowDxfId="11" headerRowBorderDxfId="10" tableBorderDxfId="9" dataCellStyle="Normal">
  <autoFilter ref="B2:E15" xr:uid="{6C077BD4-392F-43DD-BBA4-D8EFAD3C2DF3}"/>
  <tableColumns count="4">
    <tableColumn id="1" xr3:uid="{D8886178-DA38-4DAF-A779-65758840ADDA}" name="#" dataDxfId="8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  <tableColumn id="4" xr3:uid="{D64FEAB8-99B0-4018-BD02-70159FF62DF5}" name="Column1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50"/>
  <sheetViews>
    <sheetView showGridLines="0" tabSelected="1" zoomScale="70" zoomScaleNormal="70" workbookViewId="0">
      <selection activeCell="C5" sqref="C5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6" t="s">
        <v>0</v>
      </c>
      <c r="D2" s="3"/>
      <c r="E2" s="4"/>
    </row>
    <row r="3" spans="2:10" ht="15" customHeight="1" x14ac:dyDescent="0.3">
      <c r="B3" s="5"/>
      <c r="C3" s="27"/>
      <c r="E3" s="6"/>
    </row>
    <row r="4" spans="2:10" ht="29.25" customHeight="1" thickBot="1" x14ac:dyDescent="0.35">
      <c r="B4" s="5"/>
      <c r="C4" s="28"/>
      <c r="E4" s="6"/>
      <c r="J4" t="s">
        <v>1</v>
      </c>
    </row>
    <row r="5" spans="2:10" ht="15" thickTop="1" x14ac:dyDescent="0.3">
      <c r="B5" s="10" t="s">
        <v>2</v>
      </c>
      <c r="C5" s="11" t="s">
        <v>71</v>
      </c>
      <c r="D5" s="11" t="s">
        <v>3</v>
      </c>
      <c r="E5" s="12" t="s">
        <v>35</v>
      </c>
      <c r="J5" t="s">
        <v>4</v>
      </c>
    </row>
    <row r="6" spans="2:10" x14ac:dyDescent="0.3">
      <c r="B6" s="5" t="s">
        <v>5</v>
      </c>
      <c r="C6" t="s">
        <v>34</v>
      </c>
      <c r="D6" t="s">
        <v>6</v>
      </c>
      <c r="E6" s="6" t="s">
        <v>35</v>
      </c>
    </row>
    <row r="7" spans="2:10" x14ac:dyDescent="0.3">
      <c r="B7" s="5" t="s">
        <v>7</v>
      </c>
      <c r="C7" t="s">
        <v>8</v>
      </c>
      <c r="D7" t="s">
        <v>9</v>
      </c>
      <c r="E7" s="29">
        <v>46117</v>
      </c>
    </row>
    <row r="8" spans="2:10" ht="15" thickBot="1" x14ac:dyDescent="0.35">
      <c r="B8" s="7" t="s">
        <v>10</v>
      </c>
      <c r="C8" s="13">
        <v>1</v>
      </c>
      <c r="D8" s="8"/>
      <c r="E8" s="9"/>
      <c r="J8" t="s">
        <v>11</v>
      </c>
    </row>
    <row r="9" spans="2:10" ht="15" thickTop="1" x14ac:dyDescent="0.3">
      <c r="C9" s="17"/>
      <c r="J9" t="s">
        <v>12</v>
      </c>
    </row>
    <row r="10" spans="2:10" ht="42.6" thickBot="1" x14ac:dyDescent="0.35"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14" t="s">
        <v>19</v>
      </c>
      <c r="J10" t="s">
        <v>20</v>
      </c>
    </row>
    <row r="11" spans="2:10" ht="28.8" x14ac:dyDescent="0.3">
      <c r="B11" s="1" t="s">
        <v>20</v>
      </c>
      <c r="C11" s="15" t="s">
        <v>31</v>
      </c>
      <c r="D11" s="16" t="s">
        <v>1</v>
      </c>
      <c r="E11" s="18" t="s">
        <v>45</v>
      </c>
      <c r="F11" s="18"/>
      <c r="G11" s="18"/>
      <c r="H11" s="18"/>
    </row>
    <row r="12" spans="2:10" ht="28.8" x14ac:dyDescent="0.3">
      <c r="B12" s="1" t="s">
        <v>11</v>
      </c>
      <c r="C12" s="15" t="s">
        <v>38</v>
      </c>
      <c r="D12" s="16" t="s">
        <v>1</v>
      </c>
      <c r="E12" s="18" t="s">
        <v>61</v>
      </c>
      <c r="F12" s="18"/>
      <c r="G12" s="18"/>
      <c r="H12" s="18"/>
    </row>
    <row r="13" spans="2:10" ht="28.8" x14ac:dyDescent="0.3">
      <c r="B13" s="1" t="s">
        <v>11</v>
      </c>
      <c r="C13" s="15" t="s">
        <v>46</v>
      </c>
      <c r="D13" s="16" t="s">
        <v>1</v>
      </c>
      <c r="E13" s="18" t="s">
        <v>47</v>
      </c>
      <c r="F13" s="18"/>
      <c r="G13" s="18"/>
      <c r="H13" s="18"/>
    </row>
    <row r="14" spans="2:10" ht="37.950000000000003" customHeight="1" x14ac:dyDescent="0.3">
      <c r="B14" s="1" t="s">
        <v>20</v>
      </c>
      <c r="C14" s="15" t="s">
        <v>24</v>
      </c>
      <c r="D14" s="16" t="s">
        <v>1</v>
      </c>
      <c r="E14" s="18" t="s">
        <v>48</v>
      </c>
      <c r="F14" s="18"/>
      <c r="G14" s="18"/>
      <c r="H14" s="18"/>
    </row>
    <row r="15" spans="2:10" ht="37.950000000000003" customHeight="1" x14ac:dyDescent="0.3">
      <c r="B15" s="1" t="s">
        <v>11</v>
      </c>
      <c r="C15" s="23" t="s">
        <v>25</v>
      </c>
      <c r="D15" s="16" t="s">
        <v>1</v>
      </c>
      <c r="E15" s="18" t="s">
        <v>50</v>
      </c>
      <c r="F15" s="18"/>
      <c r="G15" s="18"/>
      <c r="H15" s="18"/>
    </row>
    <row r="16" spans="2:10" ht="43.2" x14ac:dyDescent="0.3">
      <c r="B16" s="1" t="s">
        <v>11</v>
      </c>
      <c r="C16" s="23" t="s">
        <v>26</v>
      </c>
      <c r="D16" s="16" t="s">
        <v>1</v>
      </c>
      <c r="E16" s="18" t="s">
        <v>49</v>
      </c>
      <c r="F16" s="18"/>
      <c r="G16" s="18"/>
      <c r="H16" s="18"/>
    </row>
    <row r="17" spans="2:8" ht="43.2" x14ac:dyDescent="0.3">
      <c r="B17" s="1" t="s">
        <v>11</v>
      </c>
      <c r="C17" s="23" t="s">
        <v>27</v>
      </c>
      <c r="D17" s="16" t="s">
        <v>1</v>
      </c>
      <c r="E17" s="18" t="s">
        <v>51</v>
      </c>
      <c r="F17" s="18"/>
      <c r="G17" s="18"/>
      <c r="H17" s="18"/>
    </row>
    <row r="18" spans="2:8" ht="86.4" customHeight="1" x14ac:dyDescent="0.3">
      <c r="B18" s="1" t="s">
        <v>11</v>
      </c>
      <c r="C18" s="23" t="s">
        <v>28</v>
      </c>
      <c r="D18" s="16" t="s">
        <v>4</v>
      </c>
      <c r="E18" s="18" t="s">
        <v>58</v>
      </c>
      <c r="F18" s="18" t="s">
        <v>59</v>
      </c>
      <c r="G18" s="18" t="s">
        <v>53</v>
      </c>
      <c r="H18" s="18" t="s">
        <v>60</v>
      </c>
    </row>
    <row r="19" spans="2:8" ht="63" customHeight="1" x14ac:dyDescent="0.3">
      <c r="B19" s="1" t="s">
        <v>11</v>
      </c>
      <c r="C19" s="15" t="s">
        <v>32</v>
      </c>
      <c r="D19" s="16" t="s">
        <v>1</v>
      </c>
      <c r="E19" s="18" t="s">
        <v>54</v>
      </c>
      <c r="F19" s="18"/>
      <c r="G19" s="18"/>
      <c r="H19" s="18"/>
    </row>
    <row r="20" spans="2:8" ht="63" customHeight="1" x14ac:dyDescent="0.3">
      <c r="B20" s="1" t="s">
        <v>11</v>
      </c>
      <c r="C20" s="15" t="s">
        <v>29</v>
      </c>
      <c r="D20" s="16" t="s">
        <v>1</v>
      </c>
      <c r="E20" s="18" t="s">
        <v>55</v>
      </c>
      <c r="F20" s="18"/>
      <c r="G20" s="18"/>
      <c r="H20" s="18"/>
    </row>
    <row r="21" spans="2:8" ht="63" customHeight="1" x14ac:dyDescent="0.3">
      <c r="B21" s="1" t="s">
        <v>20</v>
      </c>
      <c r="C21" s="15" t="s">
        <v>30</v>
      </c>
      <c r="D21" s="16" t="s">
        <v>1</v>
      </c>
      <c r="E21" s="18" t="s">
        <v>56</v>
      </c>
      <c r="F21" s="18"/>
      <c r="G21" s="18"/>
      <c r="H21" s="18"/>
    </row>
    <row r="22" spans="2:8" ht="72" x14ac:dyDescent="0.3">
      <c r="B22" s="1" t="s">
        <v>20</v>
      </c>
      <c r="C22" s="15" t="s">
        <v>33</v>
      </c>
      <c r="D22" s="16" t="s">
        <v>1</v>
      </c>
      <c r="E22" s="18" t="s">
        <v>57</v>
      </c>
      <c r="F22" s="18"/>
      <c r="G22" s="18"/>
      <c r="H22" s="18"/>
    </row>
    <row r="23" spans="2:8" ht="78" customHeight="1" x14ac:dyDescent="0.3">
      <c r="B23" s="1" t="s">
        <v>20</v>
      </c>
      <c r="C23" s="15" t="s">
        <v>36</v>
      </c>
      <c r="D23" s="16" t="s">
        <v>1</v>
      </c>
      <c r="E23" s="18" t="s">
        <v>62</v>
      </c>
      <c r="F23" s="18"/>
      <c r="G23" s="18"/>
      <c r="H23" s="18"/>
    </row>
    <row r="24" spans="2:8" ht="28.8" x14ac:dyDescent="0.3">
      <c r="B24" s="1" t="s">
        <v>20</v>
      </c>
      <c r="C24" s="15" t="s">
        <v>39</v>
      </c>
      <c r="D24" s="16" t="s">
        <v>1</v>
      </c>
      <c r="E24" s="18" t="s">
        <v>67</v>
      </c>
      <c r="F24" s="18"/>
      <c r="G24" s="18"/>
      <c r="H24" s="18"/>
    </row>
    <row r="25" spans="2:8" ht="95.4" customHeight="1" x14ac:dyDescent="0.3">
      <c r="B25" s="1" t="s">
        <v>12</v>
      </c>
      <c r="C25" s="15" t="s">
        <v>37</v>
      </c>
      <c r="D25" s="16" t="s">
        <v>4</v>
      </c>
      <c r="E25" s="18" t="s">
        <v>63</v>
      </c>
      <c r="F25" s="18" t="s">
        <v>64</v>
      </c>
      <c r="G25" s="18" t="s">
        <v>4</v>
      </c>
      <c r="H25" s="18" t="s">
        <v>65</v>
      </c>
    </row>
    <row r="26" spans="2:8" ht="86.4" x14ac:dyDescent="0.3">
      <c r="B26" s="1" t="s">
        <v>12</v>
      </c>
      <c r="C26" s="15" t="s">
        <v>43</v>
      </c>
      <c r="D26" s="16" t="s">
        <v>4</v>
      </c>
      <c r="E26" s="18" t="s">
        <v>66</v>
      </c>
      <c r="F26" s="18" t="s">
        <v>69</v>
      </c>
      <c r="G26" s="18" t="s">
        <v>4</v>
      </c>
      <c r="H26" s="18" t="s">
        <v>70</v>
      </c>
    </row>
    <row r="27" spans="2:8" ht="21" x14ac:dyDescent="0.3">
      <c r="B27" s="1" t="s">
        <v>12</v>
      </c>
      <c r="C27" s="15" t="s">
        <v>44</v>
      </c>
      <c r="D27" s="16"/>
      <c r="E27" s="18" t="s">
        <v>68</v>
      </c>
      <c r="F27" s="18"/>
      <c r="G27" s="18"/>
      <c r="H27" s="18"/>
    </row>
    <row r="28" spans="2:8" ht="21" x14ac:dyDescent="0.3">
      <c r="B28" s="1"/>
      <c r="C28" s="15"/>
      <c r="D28" s="16"/>
      <c r="E28" s="18"/>
      <c r="F28" s="18"/>
      <c r="G28" s="18"/>
      <c r="H28" s="18"/>
    </row>
    <row r="29" spans="2:8" ht="21" x14ac:dyDescent="0.3">
      <c r="B29" s="1"/>
      <c r="C29" s="15"/>
      <c r="D29" s="16"/>
      <c r="E29" s="18"/>
      <c r="F29" s="18"/>
      <c r="G29" s="18"/>
      <c r="H29" s="18"/>
    </row>
    <row r="30" spans="2:8" ht="21" x14ac:dyDescent="0.3">
      <c r="B30" s="1"/>
      <c r="C30" s="15"/>
      <c r="D30" s="16"/>
      <c r="E30" s="18"/>
      <c r="F30" s="18"/>
      <c r="G30" s="18"/>
      <c r="H30" s="18"/>
    </row>
    <row r="31" spans="2:8" ht="21" x14ac:dyDescent="0.3">
      <c r="B31" s="1"/>
      <c r="C31" s="15"/>
      <c r="D31" s="16"/>
      <c r="E31" s="18"/>
      <c r="F31" s="18"/>
      <c r="G31" s="18"/>
      <c r="H31" s="18"/>
    </row>
    <row r="32" spans="2:8" ht="21" x14ac:dyDescent="0.3">
      <c r="B32" s="1"/>
      <c r="C32" s="15"/>
      <c r="D32" s="16"/>
      <c r="E32" s="18"/>
      <c r="F32" s="18"/>
      <c r="G32" s="18"/>
      <c r="H32" s="18"/>
    </row>
    <row r="33" spans="2:8" x14ac:dyDescent="0.3">
      <c r="B33" s="1"/>
      <c r="C33" s="15"/>
      <c r="D33" s="25"/>
      <c r="E33" s="18" t="s">
        <v>52</v>
      </c>
      <c r="F33" s="18"/>
      <c r="G33" s="18"/>
      <c r="H33" s="18"/>
    </row>
    <row r="37" spans="2:8" x14ac:dyDescent="0.3">
      <c r="B37" s="20"/>
      <c r="D37" s="20"/>
      <c r="E37" s="20"/>
    </row>
    <row r="38" spans="2:8" x14ac:dyDescent="0.3">
      <c r="B38" s="19"/>
      <c r="D38" s="21"/>
      <c r="E38" s="20"/>
    </row>
    <row r="39" spans="2:8" x14ac:dyDescent="0.3">
      <c r="B39" s="19"/>
      <c r="C39" s="20"/>
      <c r="D39" s="20"/>
      <c r="E39" s="20"/>
    </row>
    <row r="40" spans="2:8" x14ac:dyDescent="0.3">
      <c r="B40" s="19"/>
      <c r="C40" s="20"/>
      <c r="D40" s="20"/>
      <c r="E40" s="20"/>
    </row>
    <row r="41" spans="2:8" x14ac:dyDescent="0.3">
      <c r="B41" s="19"/>
      <c r="C41" s="20"/>
      <c r="D41" s="20"/>
      <c r="E41" s="20"/>
    </row>
    <row r="42" spans="2:8" x14ac:dyDescent="0.3">
      <c r="B42" s="19"/>
      <c r="C42" s="20"/>
      <c r="D42" s="20"/>
      <c r="E42" s="20"/>
    </row>
    <row r="43" spans="2:8" x14ac:dyDescent="0.3">
      <c r="B43" s="19"/>
      <c r="C43" s="20"/>
      <c r="D43" s="20"/>
      <c r="E43" s="20"/>
    </row>
    <row r="44" spans="2:8" ht="13.95" customHeight="1" x14ac:dyDescent="0.3">
      <c r="B44" s="19"/>
      <c r="C44" s="20"/>
      <c r="D44" s="20"/>
      <c r="E44" s="20"/>
    </row>
    <row r="45" spans="2:8" x14ac:dyDescent="0.3">
      <c r="B45" s="19"/>
      <c r="C45" s="20"/>
      <c r="D45" s="20"/>
      <c r="E45" s="20"/>
    </row>
    <row r="46" spans="2:8" x14ac:dyDescent="0.3">
      <c r="B46" s="19"/>
      <c r="C46" s="20"/>
      <c r="D46" s="20"/>
      <c r="E46" s="20"/>
    </row>
    <row r="47" spans="2:8" x14ac:dyDescent="0.3">
      <c r="B47" s="19"/>
      <c r="D47" s="20"/>
    </row>
    <row r="48" spans="2:8" x14ac:dyDescent="0.3">
      <c r="B48" s="19"/>
      <c r="D48" s="20"/>
    </row>
    <row r="49" spans="2:4" x14ac:dyDescent="0.3">
      <c r="B49" s="19"/>
      <c r="D49" s="20"/>
    </row>
    <row r="50" spans="2:4" x14ac:dyDescent="0.3">
      <c r="B50" s="19"/>
      <c r="D50" s="20"/>
    </row>
  </sheetData>
  <mergeCells count="1">
    <mergeCell ref="C2:C4"/>
  </mergeCells>
  <phoneticPr fontId="3" type="noConversion"/>
  <conditionalFormatting sqref="D11:D24 G11:G24 G27:G33 D27:D33">
    <cfRule type="containsText" dxfId="7" priority="9" operator="containsText" text="Échec">
      <formula>NOT(ISERROR(SEARCH("Échec",D11)))</formula>
    </cfRule>
  </conditionalFormatting>
  <conditionalFormatting sqref="F11:H24 F27:H33">
    <cfRule type="expression" dxfId="6" priority="5">
      <formula>$D11=""</formula>
    </cfRule>
    <cfRule type="expression" dxfId="5" priority="6">
      <formula>$D11="Réussi"</formula>
    </cfRule>
  </conditionalFormatting>
  <conditionalFormatting sqref="G11:G24 D11:D24 D27:D33 G27:G33">
    <cfRule type="containsText" dxfId="4" priority="7" operator="containsText" text="Réussi">
      <formula>NOT(ISERROR(SEARCH("Réussi",D11)))</formula>
    </cfRule>
  </conditionalFormatting>
  <conditionalFormatting sqref="D25:D26 G25:G26">
    <cfRule type="containsText" dxfId="3" priority="4" operator="containsText" text="Échec">
      <formula>NOT(ISERROR(SEARCH("Échec",D25)))</formula>
    </cfRule>
  </conditionalFormatting>
  <conditionalFormatting sqref="F25:H26">
    <cfRule type="expression" dxfId="2" priority="1">
      <formula>$D25=""</formula>
    </cfRule>
    <cfRule type="expression" dxfId="1" priority="2">
      <formula>$D25="Réussi"</formula>
    </cfRule>
  </conditionalFormatting>
  <conditionalFormatting sqref="G25:G26 D25:D26">
    <cfRule type="containsText" dxfId="0" priority="3" operator="containsText" text="Réussi">
      <formula>NOT(ISERROR(SEARCH("Réussi",D25)))</formula>
    </cfRule>
  </conditionalFormatting>
  <dataValidations count="2">
    <dataValidation type="list" allowBlank="1" showInputMessage="1" showErrorMessage="1" sqref="G11:G33 D11:D33" xr:uid="{FE4B82E2-1996-4D3C-82E2-B8CCB3918355}">
      <formula1>$J$4:$J$5</formula1>
    </dataValidation>
    <dataValidation type="list" allowBlank="1" showInputMessage="1" showErrorMessage="1" sqref="B11:B3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workbookViewId="0">
      <selection activeCell="D20" sqref="D20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70.33203125" customWidth="1"/>
    <col min="5" max="5" width="27" customWidth="1"/>
    <col min="6" max="6" width="21.109375" hidden="1" customWidth="1"/>
  </cols>
  <sheetData>
    <row r="1" spans="2:6" x14ac:dyDescent="0.3">
      <c r="C1" s="17"/>
      <c r="F1" t="s">
        <v>12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E2" s="24" t="s">
        <v>42</v>
      </c>
      <c r="F2" t="s">
        <v>20</v>
      </c>
    </row>
    <row r="3" spans="2:6" x14ac:dyDescent="0.3">
      <c r="B3" s="22">
        <v>1</v>
      </c>
      <c r="C3" s="22" t="s">
        <v>40</v>
      </c>
      <c r="D3" s="22"/>
      <c r="E3" t="s">
        <v>41</v>
      </c>
    </row>
    <row r="4" spans="2:6" x14ac:dyDescent="0.3">
      <c r="B4" s="22">
        <f t="shared" ref="B4:B15" si="0">B3+1</f>
        <v>2</v>
      </c>
      <c r="C4" s="22"/>
      <c r="D4" s="22"/>
    </row>
    <row r="5" spans="2:6" x14ac:dyDescent="0.3">
      <c r="B5" s="22">
        <f t="shared" si="0"/>
        <v>3</v>
      </c>
      <c r="C5" s="22"/>
      <c r="D5" s="22"/>
    </row>
    <row r="6" spans="2:6" x14ac:dyDescent="0.3">
      <c r="B6" s="22">
        <f t="shared" si="0"/>
        <v>4</v>
      </c>
      <c r="C6" s="22"/>
      <c r="D6" s="22"/>
    </row>
    <row r="7" spans="2:6" x14ac:dyDescent="0.3">
      <c r="B7" s="22">
        <f t="shared" si="0"/>
        <v>5</v>
      </c>
      <c r="C7" s="22"/>
      <c r="D7" s="22"/>
    </row>
    <row r="8" spans="2:6" x14ac:dyDescent="0.3">
      <c r="B8" s="22">
        <f t="shared" si="0"/>
        <v>6</v>
      </c>
      <c r="C8" s="22"/>
      <c r="D8" s="22"/>
    </row>
    <row r="9" spans="2:6" x14ac:dyDescent="0.3">
      <c r="B9" s="22">
        <f t="shared" si="0"/>
        <v>7</v>
      </c>
      <c r="C9" s="22"/>
      <c r="D9" s="22"/>
    </row>
    <row r="10" spans="2:6" x14ac:dyDescent="0.3">
      <c r="B10" s="22">
        <f t="shared" si="0"/>
        <v>8</v>
      </c>
      <c r="C10" s="22"/>
      <c r="D10" s="22"/>
    </row>
    <row r="11" spans="2:6" x14ac:dyDescent="0.3">
      <c r="B11" s="22">
        <f t="shared" si="0"/>
        <v>9</v>
      </c>
      <c r="C11" s="22"/>
      <c r="D11" s="22"/>
    </row>
    <row r="12" spans="2:6" x14ac:dyDescent="0.3">
      <c r="B12" s="22">
        <f t="shared" si="0"/>
        <v>10</v>
      </c>
      <c r="C12" s="22"/>
      <c r="D12" s="22"/>
    </row>
    <row r="13" spans="2:6" x14ac:dyDescent="0.3">
      <c r="B13" s="22">
        <f t="shared" si="0"/>
        <v>11</v>
      </c>
      <c r="C13" s="22"/>
      <c r="D13" s="22"/>
    </row>
    <row r="14" spans="2:6" x14ac:dyDescent="0.3">
      <c r="B14" s="22">
        <f t="shared" si="0"/>
        <v>12</v>
      </c>
      <c r="C14" s="22"/>
      <c r="D14" s="22"/>
    </row>
    <row r="15" spans="2:6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95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dataValidations count="1">
    <dataValidation type="list" allowBlank="1" showInputMessage="1" showErrorMessage="1" sqref="D3:D15" xr:uid="{546096B3-7D0C-414E-A0C2-AC89DA419D4D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Roy, Jérémy</cp:lastModifiedBy>
  <cp:revision/>
  <dcterms:created xsi:type="dcterms:W3CDTF">2023-11-17T16:13:02Z</dcterms:created>
  <dcterms:modified xsi:type="dcterms:W3CDTF">2026-05-04T15:52:32Z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